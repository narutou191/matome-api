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ros\Downloads\"/>
    </mc:Choice>
  </mc:AlternateContent>
  <xr:revisionPtr revIDLastSave="0" documentId="13_ncr:1_{0F22E0D8-2002-4203-89A2-D13699D01080}" xr6:coauthVersionLast="47" xr6:coauthVersionMax="47" xr10:uidLastSave="{00000000-0000-0000-0000-000000000000}"/>
  <bookViews>
    <workbookView xWindow="-5880" yWindow="12040" windowWidth="22250" windowHeight="17810" xr2:uid="{00000000-000D-0000-FFFF-FFFF00000000}"/>
  </bookViews>
  <sheets>
    <sheet name="Sheet1" sheetId="1" r:id="rId1"/>
  </sheets>
  <definedNames>
    <definedName name="_xlnm.Print_Area" localSheetId="0">Sheet1!$B$2:$P$51</definedName>
    <definedName name="Print_Area_0" localSheetId="0">Sheet1!$A$1:$Q$48</definedName>
    <definedName name="Print_Area_0_0" localSheetId="0">Sheet1!$A$1:$Q$48</definedName>
    <definedName name="Print_Area_0_0_0" localSheetId="0">Sheet1!$A$1:$Q$48</definedName>
  </definedNames>
  <calcPr calcId="191029"/>
</workbook>
</file>

<file path=xl/calcChain.xml><?xml version="1.0" encoding="utf-8"?>
<calcChain xmlns="http://schemas.openxmlformats.org/spreadsheetml/2006/main">
  <c r="O38" i="1" l="1"/>
  <c r="O26" i="1"/>
  <c r="O25" i="1"/>
  <c r="O24" i="1"/>
  <c r="O23" i="1"/>
  <c r="O22" i="1"/>
  <c r="O21" i="1"/>
  <c r="O18" i="1"/>
  <c r="O16" i="1"/>
  <c r="O15" i="1"/>
  <c r="O14" i="1"/>
  <c r="O13" i="1"/>
  <c r="O19" i="1" s="1"/>
  <c r="O2" i="1"/>
  <c r="O27" i="1" l="1"/>
  <c r="M40" i="1" s="1"/>
  <c r="M38" i="1" l="1"/>
</calcChain>
</file>

<file path=xl/sharedStrings.xml><?xml version="1.0" encoding="utf-8"?>
<sst xmlns="http://schemas.openxmlformats.org/spreadsheetml/2006/main" count="115" uniqueCount="51">
  <si>
    <t>初期費用の概算計算書</t>
  </si>
  <si>
    <t>作成日</t>
  </si>
  <si>
    <t>様</t>
  </si>
  <si>
    <t>物件名称</t>
  </si>
  <si>
    <t>パレスインビレッジⅡ</t>
  </si>
  <si>
    <t>部屋番号</t>
  </si>
  <si>
    <t>2C</t>
  </si>
  <si>
    <t>号室</t>
  </si>
  <si>
    <t>入居予定日</t>
  </si>
  <si>
    <t>2026/05/01</t>
  </si>
  <si>
    <t>家賃発生日</t>
  </si>
  <si>
    <t>家賃等</t>
  </si>
  <si>
    <t>契約開始月家賃等</t>
  </si>
  <si>
    <t>対象月</t>
  </si>
  <si>
    <t>月分（日割り）</t>
  </si>
  <si>
    <t>日～</t>
  </si>
  <si>
    <t>日迄</t>
  </si>
  <si>
    <t>日分</t>
  </si>
  <si>
    <t>家賃</t>
  </si>
  <si>
    <t>日割（</t>
  </si>
  <si>
    <t>日　　～</t>
  </si>
  <si>
    <t>日分）</t>
  </si>
  <si>
    <t>円</t>
  </si>
  <si>
    <t>駐車場使用料</t>
  </si>
  <si>
    <t>共益費等</t>
  </si>
  <si>
    <t>その他費用</t>
  </si>
  <si>
    <t>自治会費</t>
  </si>
  <si>
    <t>小 計</t>
  </si>
  <si>
    <t>円（税込）</t>
  </si>
  <si>
    <t>前家賃等</t>
  </si>
  <si>
    <t>05</t>
  </si>
  <si>
    <t>月分</t>
  </si>
  <si>
    <t>ヶ月</t>
  </si>
  <si>
    <t>×</t>
  </si>
  <si>
    <t>入居時発生費用等</t>
  </si>
  <si>
    <t>礼金</t>
  </si>
  <si>
    <t>敷金</t>
  </si>
  <si>
    <t>仲介手数料</t>
  </si>
  <si>
    <t>駐車場契約手数料</t>
  </si>
  <si>
    <t>クリーニング費</t>
  </si>
  <si>
    <t>契約時保証委託料</t>
  </si>
  <si>
    <t>鍵セット費</t>
  </si>
  <si>
    <t>合計金額（消費税等含む）</t>
  </si>
  <si>
    <t>備
考</t>
  </si>
  <si>
    <t>共益費等明細：ケーブルＴＶ代金 550円
共益費 3,300円
その他費用に、月額保証料（月額総賃料2.2％もしくは2.5％）と、24時間サポート費用（月額）330円が必要です。
5月12日以降に入居申込の場合、24時間サポート費用と収納手数料は不要となりますが、別途ruumサポート費用1,980円（月額）が必要です。</t>
  </si>
  <si>
    <t>・別途火災保険料が必要になります。</t>
  </si>
  <si>
    <t>・自治会によっては、初月の自治会費が無料となる場合があります。</t>
  </si>
  <si>
    <t>・共益費等には、契約内容により水道管理手数料、インターネット利用料等が含まれる場合があります。</t>
  </si>
  <si>
    <t>・本計算書は、概算金額になります。契約内容により変動がありますのでご承知おき下さい。</t>
  </si>
  <si>
    <t>・正式な見積書が必要な場合はスタッフまでお申し付けください。</t>
  </si>
  <si>
    <t>・例月家賃をクレジット及び口座振替にて支払う場合、収納手数料170円が必要です。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</si>
</sst>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8" x14ac:knownFonts="1">
    <font>
      <sz val="11"/>
      <color rgb="FF000000"/>
      <name val="游ゴシック"/>
    </font>
    <font>
      <b/>
      <sz val="14"/>
      <color rgb="FF000000"/>
      <name val="ＭＳ Ｐゴシック"/>
    </font>
    <font>
      <b/>
      <sz val="12"/>
      <color rgb="FF000000"/>
      <name val="ＭＳ Ｐゴシック"/>
    </font>
    <font>
      <sz val="11"/>
      <color rgb="FF000000"/>
      <name val="ＭＳ Ｐゴシック"/>
    </font>
    <font>
      <sz val="10"/>
      <color rgb="FF000000"/>
      <name val="ＭＳ Ｐゴシック"/>
    </font>
    <font>
      <b/>
      <sz val="11"/>
      <color rgb="FF000000"/>
      <name val="ＭＳ Ｐゴシック"/>
    </font>
    <font>
      <b/>
      <sz val="10"/>
      <color rgb="FF000000"/>
      <name val="ＭＳ Ｐゴシック"/>
    </font>
    <font>
      <sz val="14"/>
      <color rgb="FF000000"/>
      <name val="ＭＳ Ｐゴシック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D9E2F3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E7E6E6"/>
        <bgColor rgb="FFD9E2F3"/>
      </patternFill>
    </fill>
    <fill>
      <patternFill patternType="solid">
        <fgColor rgb="FFFBE4D5"/>
        <bgColor rgb="FFE7E6E6"/>
      </patternFill>
    </fill>
    <fill>
      <patternFill patternType="solid">
        <fgColor rgb="FFD8D8D8"/>
        <bgColor rgb="FFFFFFFF"/>
      </patternFill>
    </fill>
    <fill>
      <patternFill patternType="solid">
        <fgColor rgb="FFCFCFCF"/>
        <bgColor rgb="FFD9E2F3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2" borderId="0" xfId="0" applyFill="1"/>
    <xf numFmtId="0" fontId="0" fillId="2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1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4" fontId="3" fillId="2" borderId="3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14" fontId="3" fillId="2" borderId="6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164" fontId="3" fillId="2" borderId="16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164" fontId="3" fillId="6" borderId="17" xfId="0" applyNumberFormat="1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164" fontId="3" fillId="2" borderId="21" xfId="0" applyNumberFormat="1" applyFont="1" applyFill="1" applyBorder="1" applyAlignment="1">
      <alignment horizontal="right" vertical="center"/>
    </xf>
    <xf numFmtId="164" fontId="3" fillId="2" borderId="21" xfId="0" applyNumberFormat="1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164" fontId="3" fillId="6" borderId="22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5" borderId="24" xfId="0" applyFont="1" applyFill="1" applyBorder="1" applyAlignment="1">
      <alignment vertical="center"/>
    </xf>
    <xf numFmtId="0" fontId="3" fillId="6" borderId="25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164" fontId="3" fillId="2" borderId="27" xfId="0" applyNumberFormat="1" applyFont="1" applyFill="1" applyBorder="1" applyAlignment="1">
      <alignment horizontal="right" vertical="center"/>
    </xf>
    <xf numFmtId="164" fontId="3" fillId="2" borderId="27" xfId="0" applyNumberFormat="1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164" fontId="5" fillId="2" borderId="30" xfId="0" applyNumberFormat="1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3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vertical="center"/>
    </xf>
    <xf numFmtId="0" fontId="3" fillId="2" borderId="27" xfId="0" applyFont="1" applyFill="1" applyBorder="1" applyAlignment="1">
      <alignment horizontal="left" vertical="center"/>
    </xf>
    <xf numFmtId="164" fontId="3" fillId="6" borderId="36" xfId="0" applyNumberFormat="1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164" fontId="5" fillId="2" borderId="39" xfId="0" applyNumberFormat="1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0" fontId="2" fillId="3" borderId="41" xfId="0" applyFont="1" applyFill="1" applyBorder="1" applyAlignment="1">
      <alignment vertical="center"/>
    </xf>
    <xf numFmtId="0" fontId="5" fillId="3" borderId="32" xfId="0" applyFont="1" applyFill="1" applyBorder="1" applyAlignment="1">
      <alignment vertical="center"/>
    </xf>
    <xf numFmtId="0" fontId="5" fillId="3" borderId="42" xfId="0" applyFont="1" applyFill="1" applyBorder="1" applyAlignment="1">
      <alignment vertical="center"/>
    </xf>
    <xf numFmtId="0" fontId="3" fillId="5" borderId="43" xfId="0" applyFont="1" applyFill="1" applyBorder="1" applyAlignment="1">
      <alignment vertical="center"/>
    </xf>
    <xf numFmtId="164" fontId="3" fillId="6" borderId="15" xfId="0" applyNumberFormat="1" applyFont="1" applyFill="1" applyBorder="1" applyAlignment="1">
      <alignment vertical="center"/>
    </xf>
    <xf numFmtId="0" fontId="3" fillId="5" borderId="44" xfId="0" applyFont="1" applyFill="1" applyBorder="1" applyAlignment="1">
      <alignment vertical="center"/>
    </xf>
    <xf numFmtId="164" fontId="3" fillId="6" borderId="20" xfId="0" applyNumberFormat="1" applyFont="1" applyFill="1" applyBorder="1" applyAlignment="1">
      <alignment vertical="center"/>
    </xf>
    <xf numFmtId="0" fontId="3" fillId="2" borderId="45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164" fontId="3" fillId="2" borderId="32" xfId="0" applyNumberFormat="1" applyFont="1" applyFill="1" applyBorder="1" applyAlignment="1">
      <alignment vertical="center"/>
    </xf>
    <xf numFmtId="0" fontId="3" fillId="2" borderId="46" xfId="0" applyFont="1" applyFill="1" applyBorder="1" applyAlignment="1">
      <alignment vertical="center"/>
    </xf>
    <xf numFmtId="0" fontId="3" fillId="2" borderId="42" xfId="0" applyFont="1" applyFill="1" applyBorder="1" applyAlignment="1">
      <alignment vertical="center"/>
    </xf>
    <xf numFmtId="0" fontId="3" fillId="5" borderId="47" xfId="0" applyFont="1" applyFill="1" applyBorder="1" applyAlignment="1">
      <alignment vertical="center"/>
    </xf>
    <xf numFmtId="0" fontId="3" fillId="7" borderId="53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4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164" fontId="3" fillId="2" borderId="21" xfId="0" applyNumberFormat="1" applyFont="1" applyFill="1" applyBorder="1" applyAlignment="1">
      <alignment horizontal="right" vertical="center"/>
    </xf>
    <xf numFmtId="164" fontId="3" fillId="6" borderId="27" xfId="0" applyNumberFormat="1" applyFont="1" applyFill="1" applyBorder="1" applyAlignment="1">
      <alignment horizontal="right" vertical="center"/>
    </xf>
    <xf numFmtId="0" fontId="3" fillId="5" borderId="51" xfId="0" applyFont="1" applyFill="1" applyBorder="1" applyAlignment="1">
      <alignment horizontal="center" vertical="center"/>
    </xf>
    <xf numFmtId="0" fontId="1" fillId="8" borderId="51" xfId="0" applyFont="1" applyFill="1" applyBorder="1" applyAlignment="1">
      <alignment horizontal="center" vertical="center"/>
    </xf>
    <xf numFmtId="164" fontId="1" fillId="2" borderId="30" xfId="0" applyNumberFormat="1" applyFont="1" applyFill="1" applyBorder="1" applyAlignment="1">
      <alignment horizontal="right" vertical="center"/>
    </xf>
    <xf numFmtId="164" fontId="3" fillId="2" borderId="52" xfId="0" applyNumberFormat="1" applyFont="1" applyFill="1" applyBorder="1" applyAlignment="1">
      <alignment horizontal="right" vertical="center"/>
    </xf>
    <xf numFmtId="0" fontId="3" fillId="5" borderId="49" xfId="0" applyFont="1" applyFill="1" applyBorder="1" applyAlignment="1">
      <alignment horizontal="right" vertical="center"/>
    </xf>
    <xf numFmtId="14" fontId="3" fillId="2" borderId="3" xfId="0" applyNumberFormat="1" applyFont="1" applyFill="1" applyBorder="1" applyAlignment="1">
      <alignment horizontal="left" vertical="center"/>
    </xf>
    <xf numFmtId="0" fontId="3" fillId="5" borderId="50" xfId="0" applyFont="1" applyFill="1" applyBorder="1" applyAlignment="1">
      <alignment horizontal="right" vertical="center"/>
    </xf>
    <xf numFmtId="14" fontId="3" fillId="2" borderId="6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14" fontId="3" fillId="3" borderId="0" xfId="0" applyNumberFormat="1" applyFont="1" applyFill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3" fillId="5" borderId="48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51"/>
  <sheetViews>
    <sheetView tabSelected="1" view="pageLayout" zoomScale="90" zoomScaleNormal="100" zoomScaleSheetLayoutView="130" zoomScalePageLayoutView="90" workbookViewId="0">
      <selection activeCell="C24" sqref="C24"/>
    </sheetView>
  </sheetViews>
  <sheetFormatPr defaultColWidth="8.875" defaultRowHeight="18.75" x14ac:dyDescent="0.4"/>
  <cols>
    <col min="1" max="1" width="0.625" style="1" customWidth="1"/>
    <col min="2" max="2" width="5.375" style="1" customWidth="1"/>
    <col min="3" max="3" width="17.625" style="1" customWidth="1"/>
    <col min="4" max="4" width="1.375" style="1" customWidth="1"/>
    <col min="5" max="5" width="6" style="1" customWidth="1"/>
    <col min="6" max="6" width="3.375" style="1" customWidth="1"/>
    <col min="7" max="7" width="8.125" style="1" customWidth="1"/>
    <col min="8" max="8" width="3.625" style="1" customWidth="1"/>
    <col min="9" max="9" width="4.375" style="1" customWidth="1"/>
    <col min="10" max="10" width="3.875" style="1" customWidth="1"/>
    <col min="11" max="11" width="5.125" style="1" customWidth="1"/>
    <col min="12" max="12" width="3.625" style="1" customWidth="1"/>
    <col min="13" max="13" width="4.375" style="1" customWidth="1"/>
    <col min="14" max="14" width="3.625" style="1" customWidth="1"/>
    <col min="15" max="15" width="10.375" style="1" customWidth="1"/>
    <col min="16" max="16" width="9" style="1" customWidth="1"/>
    <col min="17" max="17" width="1" style="1" customWidth="1"/>
    <col min="18" max="18" width="10.375" style="1" customWidth="1"/>
    <col min="19" max="19" width="0" style="1" hidden="1" customWidth="1"/>
    <col min="20" max="256" width="9" style="1" customWidth="1"/>
    <col min="257" max="257" width="0.625" style="1" customWidth="1"/>
    <col min="258" max="258" width="5.375" style="1" customWidth="1"/>
    <col min="259" max="259" width="17.625" style="1" customWidth="1"/>
    <col min="260" max="260" width="1.375" style="1" customWidth="1"/>
    <col min="261" max="261" width="6" style="1" customWidth="1"/>
    <col min="262" max="262" width="3.375" style="1" customWidth="1"/>
    <col min="263" max="263" width="8.125" style="1" customWidth="1"/>
    <col min="264" max="264" width="3.625" style="1" customWidth="1"/>
    <col min="265" max="265" width="4.375" style="1" customWidth="1"/>
    <col min="266" max="266" width="3.875" style="1" customWidth="1"/>
    <col min="267" max="267" width="5.125" style="1" customWidth="1"/>
    <col min="268" max="268" width="3.625" style="1" customWidth="1"/>
    <col min="269" max="269" width="4.375" style="1" customWidth="1"/>
    <col min="270" max="270" width="3.625" style="1" customWidth="1"/>
    <col min="271" max="271" width="10.375" style="1" customWidth="1"/>
    <col min="272" max="272" width="9" style="1" customWidth="1"/>
    <col min="273" max="273" width="1" style="1" customWidth="1"/>
    <col min="274" max="274" width="10.375" style="1" customWidth="1"/>
    <col min="275" max="275" width="0" style="1" hidden="1" customWidth="1"/>
    <col min="276" max="512" width="9" style="1" customWidth="1"/>
    <col min="513" max="513" width="0.625" style="1" customWidth="1"/>
    <col min="514" max="514" width="5.375" style="1" customWidth="1"/>
    <col min="515" max="515" width="17.625" style="1" customWidth="1"/>
    <col min="516" max="516" width="1.375" style="1" customWidth="1"/>
    <col min="517" max="517" width="6" style="1" customWidth="1"/>
    <col min="518" max="518" width="3.375" style="1" customWidth="1"/>
    <col min="519" max="519" width="8.125" style="1" customWidth="1"/>
    <col min="520" max="520" width="3.625" style="1" customWidth="1"/>
    <col min="521" max="521" width="4.375" style="1" customWidth="1"/>
    <col min="522" max="522" width="3.875" style="1" customWidth="1"/>
    <col min="523" max="523" width="5.125" style="1" customWidth="1"/>
    <col min="524" max="524" width="3.625" style="1" customWidth="1"/>
    <col min="525" max="525" width="4.375" style="1" customWidth="1"/>
    <col min="526" max="526" width="3.625" style="1" customWidth="1"/>
    <col min="527" max="527" width="10.375" style="1" customWidth="1"/>
    <col min="528" max="528" width="9" style="1" customWidth="1"/>
    <col min="529" max="529" width="1" style="1" customWidth="1"/>
    <col min="530" max="530" width="10.375" style="1" customWidth="1"/>
    <col min="531" max="531" width="0" style="1" hidden="1" customWidth="1"/>
    <col min="532" max="768" width="9" style="1" customWidth="1"/>
    <col min="769" max="769" width="0.625" style="1" customWidth="1"/>
    <col min="770" max="770" width="5.375" style="1" customWidth="1"/>
    <col min="771" max="771" width="17.625" style="1" customWidth="1"/>
    <col min="772" max="772" width="1.375" style="1" customWidth="1"/>
    <col min="773" max="773" width="6" style="1" customWidth="1"/>
    <col min="774" max="774" width="3.375" style="1" customWidth="1"/>
    <col min="775" max="775" width="8.125" style="1" customWidth="1"/>
    <col min="776" max="776" width="3.625" style="1" customWidth="1"/>
    <col min="777" max="777" width="4.375" style="1" customWidth="1"/>
    <col min="778" max="778" width="3.875" style="1" customWidth="1"/>
    <col min="779" max="779" width="5.125" style="1" customWidth="1"/>
    <col min="780" max="780" width="3.625" style="1" customWidth="1"/>
    <col min="781" max="781" width="4.375" style="1" customWidth="1"/>
    <col min="782" max="782" width="3.625" style="1" customWidth="1"/>
    <col min="783" max="783" width="10.375" style="1" customWidth="1"/>
    <col min="784" max="784" width="9" style="1" customWidth="1"/>
    <col min="785" max="785" width="1" style="1" customWidth="1"/>
    <col min="786" max="786" width="10.375" style="1" customWidth="1"/>
    <col min="787" max="787" width="0" style="1" hidden="1" customWidth="1"/>
    <col min="788" max="1025" width="9" style="1" customWidth="1"/>
  </cols>
  <sheetData>
    <row r="1" spans="2:16" ht="14.45" customHeight="1" x14ac:dyDescent="0.4"/>
    <row r="2" spans="2:16" ht="14.45" customHeight="1" x14ac:dyDescent="0.4">
      <c r="B2" s="2" t="s">
        <v>0</v>
      </c>
      <c r="C2" s="3"/>
      <c r="D2" s="4"/>
      <c r="E2" s="4"/>
      <c r="F2" s="4"/>
      <c r="G2" s="4"/>
      <c r="H2" s="4"/>
      <c r="I2" s="4"/>
      <c r="J2" s="4"/>
      <c r="K2" s="4"/>
      <c r="L2" s="4"/>
      <c r="M2" s="100" t="s">
        <v>1</v>
      </c>
      <c r="N2" s="100"/>
      <c r="O2" s="101">
        <f ca="1">TODAY()</f>
        <v>46135</v>
      </c>
      <c r="P2" s="101"/>
    </row>
    <row r="3" spans="2:16" ht="6" customHeight="1" x14ac:dyDescent="0.4"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8"/>
      <c r="P3" s="9"/>
    </row>
    <row r="4" spans="2:16" ht="19.5" customHeight="1" x14ac:dyDescent="0.4">
      <c r="B4" s="102"/>
      <c r="C4" s="102"/>
      <c r="D4" s="10" t="s">
        <v>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1"/>
    </row>
    <row r="5" spans="2:16" ht="15.95" customHeight="1" x14ac:dyDescent="0.4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2:16" ht="15.95" customHeight="1" x14ac:dyDescent="0.4">
      <c r="B6" s="103" t="s">
        <v>3</v>
      </c>
      <c r="C6" s="103"/>
      <c r="D6" s="13"/>
      <c r="E6" s="104" t="s">
        <v>4</v>
      </c>
      <c r="F6" s="104"/>
      <c r="G6" s="104"/>
      <c r="H6" s="104"/>
      <c r="I6" s="104"/>
      <c r="J6" s="104"/>
      <c r="K6" s="104"/>
      <c r="L6" s="14"/>
      <c r="M6" s="11"/>
      <c r="N6" s="11"/>
      <c r="O6" s="11"/>
      <c r="P6" s="11"/>
    </row>
    <row r="7" spans="2:16" ht="15.95" customHeight="1" x14ac:dyDescent="0.4">
      <c r="B7" s="96" t="s">
        <v>5</v>
      </c>
      <c r="C7" s="96"/>
      <c r="D7" s="15"/>
      <c r="E7" s="16" t="s">
        <v>6</v>
      </c>
      <c r="F7" s="16" t="s">
        <v>7</v>
      </c>
      <c r="G7" s="16"/>
      <c r="H7" s="16"/>
      <c r="I7" s="16"/>
      <c r="J7" s="16"/>
      <c r="K7" s="17"/>
      <c r="L7" s="11"/>
      <c r="M7" s="11"/>
      <c r="N7" s="11"/>
      <c r="O7" s="11"/>
      <c r="P7" s="11"/>
    </row>
    <row r="8" spans="2:16" ht="15.95" customHeight="1" x14ac:dyDescent="0.4">
      <c r="B8" s="96" t="s">
        <v>8</v>
      </c>
      <c r="C8" s="96"/>
      <c r="D8" s="15"/>
      <c r="E8" s="97" t="s">
        <v>9</v>
      </c>
      <c r="F8" s="97"/>
      <c r="G8" s="97"/>
      <c r="H8" s="18"/>
      <c r="I8" s="18"/>
      <c r="J8" s="16"/>
      <c r="K8" s="17"/>
      <c r="L8" s="11"/>
      <c r="M8" s="11"/>
      <c r="N8" s="11"/>
      <c r="O8" s="11"/>
      <c r="P8" s="11"/>
    </row>
    <row r="9" spans="2:16" ht="15.95" customHeight="1" x14ac:dyDescent="0.4">
      <c r="B9" s="98" t="s">
        <v>10</v>
      </c>
      <c r="C9" s="98"/>
      <c r="D9" s="19"/>
      <c r="E9" s="99" t="s">
        <v>9</v>
      </c>
      <c r="F9" s="99"/>
      <c r="G9" s="99"/>
      <c r="H9" s="20"/>
      <c r="I9" s="20"/>
      <c r="J9" s="21"/>
      <c r="K9" s="22"/>
      <c r="L9" s="11"/>
      <c r="M9" s="11"/>
      <c r="N9" s="11"/>
      <c r="O9" s="11"/>
      <c r="P9" s="11"/>
    </row>
    <row r="10" spans="2:16" ht="28.5" customHeight="1" x14ac:dyDescent="0.4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2:16" ht="15.95" customHeight="1" x14ac:dyDescent="0.4">
      <c r="B11" s="23" t="s">
        <v>11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/>
    </row>
    <row r="12" spans="2:16" ht="15.95" customHeight="1" x14ac:dyDescent="0.4">
      <c r="B12" s="26" t="s">
        <v>12</v>
      </c>
      <c r="C12" s="27"/>
      <c r="D12" s="15"/>
      <c r="E12" s="16" t="s">
        <v>13</v>
      </c>
      <c r="F12" s="16"/>
      <c r="G12" s="16" t="s">
        <v>14</v>
      </c>
      <c r="H12" s="16"/>
      <c r="I12" s="16"/>
      <c r="J12" s="16"/>
      <c r="K12" s="16" t="s">
        <v>15</v>
      </c>
      <c r="L12" s="16"/>
      <c r="M12" s="16" t="s">
        <v>16</v>
      </c>
      <c r="N12" s="16"/>
      <c r="O12" s="16" t="s">
        <v>17</v>
      </c>
      <c r="P12" s="17"/>
    </row>
    <row r="13" spans="2:16" ht="15.95" customHeight="1" x14ac:dyDescent="0.4">
      <c r="B13" s="28"/>
      <c r="C13" s="29" t="s">
        <v>18</v>
      </c>
      <c r="D13" s="30"/>
      <c r="E13" s="31" t="s">
        <v>19</v>
      </c>
      <c r="F13" s="31"/>
      <c r="G13" s="32" t="s">
        <v>20</v>
      </c>
      <c r="H13" s="32"/>
      <c r="I13" s="32" t="s">
        <v>16</v>
      </c>
      <c r="J13" s="33"/>
      <c r="K13" s="33" t="s">
        <v>21</v>
      </c>
      <c r="L13" s="33"/>
      <c r="M13" s="33"/>
      <c r="N13" s="33"/>
      <c r="O13" s="34" t="str">
        <f>IF(AND(C13&lt;&gt;"",$F$12&lt;&gt;""),INT($S$21*$N$12/$L$12)-ROUNDUP(($S$21-$F$21)*$N$12/$L$12,0),"")</f>
        <v/>
      </c>
      <c r="P13" s="35" t="s">
        <v>22</v>
      </c>
    </row>
    <row r="14" spans="2:16" ht="15.95" customHeight="1" x14ac:dyDescent="0.4">
      <c r="B14" s="28"/>
      <c r="C14" s="36" t="s">
        <v>23</v>
      </c>
      <c r="D14" s="37"/>
      <c r="E14" s="38" t="s">
        <v>19</v>
      </c>
      <c r="F14" s="39"/>
      <c r="G14" s="39" t="s">
        <v>20</v>
      </c>
      <c r="H14" s="39"/>
      <c r="I14" s="39" t="s">
        <v>16</v>
      </c>
      <c r="J14" s="40"/>
      <c r="K14" s="40" t="s">
        <v>21</v>
      </c>
      <c r="L14" s="40"/>
      <c r="M14" s="40"/>
      <c r="N14" s="40"/>
      <c r="O14" s="41" t="str">
        <f>IF(AND(C14&lt;&gt;"",$F$12&lt;&gt;""),INT(INT(F22/1.1*$N$12/$L$12)*1.1 ),"")</f>
        <v/>
      </c>
      <c r="P14" s="42" t="s">
        <v>22</v>
      </c>
    </row>
    <row r="15" spans="2:16" ht="15.95" customHeight="1" x14ac:dyDescent="0.4">
      <c r="B15" s="28"/>
      <c r="C15" s="36" t="s">
        <v>24</v>
      </c>
      <c r="D15" s="37"/>
      <c r="E15" s="38" t="s">
        <v>19</v>
      </c>
      <c r="F15" s="39"/>
      <c r="G15" s="39" t="s">
        <v>20</v>
      </c>
      <c r="H15" s="39"/>
      <c r="I15" s="39" t="s">
        <v>16</v>
      </c>
      <c r="J15" s="40"/>
      <c r="K15" s="40" t="s">
        <v>21</v>
      </c>
      <c r="L15" s="40"/>
      <c r="M15" s="40"/>
      <c r="N15" s="40"/>
      <c r="O15" s="41" t="str">
        <f>IF(AND(C15&lt;&gt;"",$F$12&lt;&gt;""),INT(F23*$N$12/$L$12),"")</f>
        <v/>
      </c>
      <c r="P15" s="42" t="s">
        <v>22</v>
      </c>
    </row>
    <row r="16" spans="2:16" ht="15.95" customHeight="1" x14ac:dyDescent="0.4">
      <c r="B16" s="28"/>
      <c r="C16" s="36" t="s">
        <v>25</v>
      </c>
      <c r="D16" s="37"/>
      <c r="E16" s="38" t="s">
        <v>19</v>
      </c>
      <c r="F16" s="39"/>
      <c r="G16" s="39" t="s">
        <v>20</v>
      </c>
      <c r="H16" s="39"/>
      <c r="I16" s="39" t="s">
        <v>16</v>
      </c>
      <c r="J16" s="40"/>
      <c r="K16" s="40" t="s">
        <v>21</v>
      </c>
      <c r="L16" s="40"/>
      <c r="M16" s="40"/>
      <c r="N16" s="40"/>
      <c r="O16" s="41" t="str">
        <f>IF(AND(C16&lt;&gt;"",$F$12&lt;&gt;""),INT((INT($S$21*$N$12/$L$12)+$O$14+$O$15+$O$17+INT(INT($S$24/1.1*$N$12/$L$12)*1.1)) * $S$25 /100 ) + INT(INT($S$24/1.1*$N$12/$L$12)*1.1),"")</f>
        <v/>
      </c>
      <c r="P16" s="42" t="s">
        <v>22</v>
      </c>
    </row>
    <row r="17" spans="2:19" ht="15.95" customHeight="1" x14ac:dyDescent="0.4">
      <c r="B17" s="28"/>
      <c r="C17" s="36" t="s">
        <v>26</v>
      </c>
      <c r="D17" s="37"/>
      <c r="E17" s="38" t="s">
        <v>19</v>
      </c>
      <c r="F17" s="39"/>
      <c r="G17" s="39" t="s">
        <v>20</v>
      </c>
      <c r="H17" s="39"/>
      <c r="I17" s="39" t="s">
        <v>16</v>
      </c>
      <c r="J17" s="40"/>
      <c r="K17" s="40" t="s">
        <v>21</v>
      </c>
      <c r="L17" s="40"/>
      <c r="M17" s="40"/>
      <c r="N17" s="40"/>
      <c r="O17" s="41"/>
      <c r="P17" s="42" t="s">
        <v>22</v>
      </c>
    </row>
    <row r="18" spans="2:19" ht="15.95" customHeight="1" x14ac:dyDescent="0.4">
      <c r="B18" s="43"/>
      <c r="C18" s="44"/>
      <c r="D18" s="45"/>
      <c r="E18" s="46" t="s">
        <v>19</v>
      </c>
      <c r="F18" s="47"/>
      <c r="G18" s="47" t="s">
        <v>20</v>
      </c>
      <c r="H18" s="47"/>
      <c r="I18" s="47" t="s">
        <v>16</v>
      </c>
      <c r="J18" s="48"/>
      <c r="K18" s="48" t="s">
        <v>21</v>
      </c>
      <c r="L18" s="48"/>
      <c r="M18" s="49"/>
      <c r="N18" s="49"/>
      <c r="O18" s="41" t="str">
        <f>IF(AND(C18&lt;&gt;"",$F$12&lt;&gt;""),INT(F26*$N$12/$L$12),"")</f>
        <v/>
      </c>
      <c r="P18" s="50" t="s">
        <v>22</v>
      </c>
    </row>
    <row r="19" spans="2:19" ht="15.95" customHeight="1" x14ac:dyDescent="0.4">
      <c r="B19" s="51"/>
      <c r="C19" s="11"/>
      <c r="D19" s="11"/>
      <c r="E19" s="11"/>
      <c r="F19" s="11"/>
      <c r="G19" s="11"/>
      <c r="H19" s="11"/>
      <c r="I19" s="11"/>
      <c r="J19" s="11"/>
      <c r="K19" s="11"/>
      <c r="L19" s="92" t="s">
        <v>27</v>
      </c>
      <c r="M19" s="92"/>
      <c r="N19" s="92"/>
      <c r="O19" s="52">
        <f>SUM(O13:O18)</f>
        <v>0</v>
      </c>
      <c r="P19" s="53" t="s">
        <v>28</v>
      </c>
    </row>
    <row r="20" spans="2:19" ht="15.95" customHeight="1" x14ac:dyDescent="0.4">
      <c r="B20" s="26" t="s">
        <v>29</v>
      </c>
      <c r="C20" s="27"/>
      <c r="D20" s="15"/>
      <c r="E20" s="16" t="s">
        <v>13</v>
      </c>
      <c r="F20" s="16" t="s">
        <v>30</v>
      </c>
      <c r="G20" s="16" t="s">
        <v>31</v>
      </c>
      <c r="H20" s="16"/>
      <c r="I20" s="16"/>
      <c r="J20" s="16">
        <v>1</v>
      </c>
      <c r="K20" s="16" t="s">
        <v>32</v>
      </c>
      <c r="L20" s="16"/>
      <c r="M20" s="54"/>
      <c r="N20" s="54"/>
      <c r="O20" s="54"/>
      <c r="P20" s="55"/>
    </row>
    <row r="21" spans="2:19" ht="15.95" customHeight="1" x14ac:dyDescent="0.4">
      <c r="B21" s="28"/>
      <c r="C21" s="29" t="s">
        <v>18</v>
      </c>
      <c r="D21" s="30"/>
      <c r="E21" s="33"/>
      <c r="F21" s="95">
        <v>41000</v>
      </c>
      <c r="G21" s="95"/>
      <c r="H21" s="32" t="s">
        <v>22</v>
      </c>
      <c r="I21" s="32" t="s">
        <v>33</v>
      </c>
      <c r="J21" s="33">
        <v>1</v>
      </c>
      <c r="K21" s="56"/>
      <c r="L21" s="33"/>
      <c r="M21" s="57"/>
      <c r="N21" s="57"/>
      <c r="O21" s="34">
        <f>F21*J21</f>
        <v>41000</v>
      </c>
      <c r="P21" s="58" t="s">
        <v>22</v>
      </c>
      <c r="S21" s="1">
        <v>44000</v>
      </c>
    </row>
    <row r="22" spans="2:19" ht="15.95" customHeight="1" x14ac:dyDescent="0.4">
      <c r="B22" s="28"/>
      <c r="C22" s="36" t="s">
        <v>23</v>
      </c>
      <c r="D22" s="37"/>
      <c r="E22" s="40"/>
      <c r="F22" s="90">
        <v>3300</v>
      </c>
      <c r="G22" s="90"/>
      <c r="H22" s="39" t="s">
        <v>22</v>
      </c>
      <c r="I22" s="39" t="s">
        <v>33</v>
      </c>
      <c r="J22" s="40">
        <v>1</v>
      </c>
      <c r="K22" s="59"/>
      <c r="L22" s="40"/>
      <c r="M22" s="40"/>
      <c r="N22" s="40"/>
      <c r="O22" s="41">
        <f>F22*J22</f>
        <v>3300</v>
      </c>
      <c r="P22" s="60" t="s">
        <v>22</v>
      </c>
    </row>
    <row r="23" spans="2:19" ht="15.95" customHeight="1" x14ac:dyDescent="0.4">
      <c r="B23" s="28"/>
      <c r="C23" s="36" t="s">
        <v>24</v>
      </c>
      <c r="D23" s="37"/>
      <c r="E23" s="40"/>
      <c r="F23" s="90">
        <v>3850</v>
      </c>
      <c r="G23" s="90"/>
      <c r="H23" s="39" t="s">
        <v>22</v>
      </c>
      <c r="I23" s="39" t="s">
        <v>33</v>
      </c>
      <c r="J23" s="40">
        <v>1</v>
      </c>
      <c r="K23" s="59"/>
      <c r="L23" s="40"/>
      <c r="M23" s="40"/>
      <c r="N23" s="40"/>
      <c r="O23" s="41">
        <f>F23*J23</f>
        <v>3850</v>
      </c>
      <c r="P23" s="60" t="s">
        <v>22</v>
      </c>
    </row>
    <row r="24" spans="2:19" ht="15.95" customHeight="1" x14ac:dyDescent="0.4">
      <c r="B24" s="28"/>
      <c r="C24" s="36" t="s">
        <v>25</v>
      </c>
      <c r="D24" s="37"/>
      <c r="E24" s="40"/>
      <c r="F24" s="90">
        <v>1473</v>
      </c>
      <c r="G24" s="90"/>
      <c r="H24" s="39" t="s">
        <v>22</v>
      </c>
      <c r="I24" s="39" t="s">
        <v>33</v>
      </c>
      <c r="J24" s="40">
        <v>1</v>
      </c>
      <c r="K24" s="59"/>
      <c r="L24" s="40"/>
      <c r="M24" s="40"/>
      <c r="N24" s="40"/>
      <c r="O24" s="41">
        <f>F24*J24</f>
        <v>1473</v>
      </c>
      <c r="P24" s="60" t="s">
        <v>22</v>
      </c>
      <c r="S24" s="1">
        <v>330</v>
      </c>
    </row>
    <row r="25" spans="2:19" ht="15.95" customHeight="1" x14ac:dyDescent="0.4">
      <c r="B25" s="28"/>
      <c r="C25" s="36" t="s">
        <v>26</v>
      </c>
      <c r="D25" s="37"/>
      <c r="E25" s="40"/>
      <c r="F25" s="90">
        <v>500</v>
      </c>
      <c r="G25" s="90"/>
      <c r="H25" s="39" t="s">
        <v>22</v>
      </c>
      <c r="I25" s="39" t="s">
        <v>33</v>
      </c>
      <c r="J25" s="40">
        <v>1</v>
      </c>
      <c r="K25" s="59"/>
      <c r="L25" s="40"/>
      <c r="M25" s="40"/>
      <c r="N25" s="40"/>
      <c r="O25" s="41">
        <f>F25*J25</f>
        <v>500</v>
      </c>
      <c r="P25" s="60" t="s">
        <v>22</v>
      </c>
      <c r="S25" s="1">
        <v>2.2000000000000002</v>
      </c>
    </row>
    <row r="26" spans="2:19" ht="15.95" customHeight="1" x14ac:dyDescent="0.4">
      <c r="B26" s="43"/>
      <c r="C26" s="44"/>
      <c r="D26" s="45"/>
      <c r="E26" s="48"/>
      <c r="F26" s="91"/>
      <c r="G26" s="91"/>
      <c r="H26" s="47" t="s">
        <v>22</v>
      </c>
      <c r="I26" s="47" t="s">
        <v>33</v>
      </c>
      <c r="J26" s="48">
        <v>1</v>
      </c>
      <c r="K26" s="61"/>
      <c r="L26" s="48"/>
      <c r="M26" s="49"/>
      <c r="N26" s="49"/>
      <c r="O26" s="62" t="str">
        <f>IF(F26*J26=0,"",F26*J26)</f>
        <v/>
      </c>
      <c r="P26" s="63" t="s">
        <v>22</v>
      </c>
    </row>
    <row r="27" spans="2:19" ht="15.95" customHeight="1" x14ac:dyDescent="0.4">
      <c r="B27" s="64"/>
      <c r="C27" s="21"/>
      <c r="D27" s="21"/>
      <c r="E27" s="21"/>
      <c r="F27" s="21"/>
      <c r="G27" s="21"/>
      <c r="H27" s="21"/>
      <c r="I27" s="21"/>
      <c r="J27" s="21"/>
      <c r="K27" s="21"/>
      <c r="L27" s="92" t="s">
        <v>27</v>
      </c>
      <c r="M27" s="92"/>
      <c r="N27" s="92"/>
      <c r="O27" s="65">
        <f>SUM(O21:O26)</f>
        <v>50123</v>
      </c>
      <c r="P27" s="66" t="s">
        <v>28</v>
      </c>
    </row>
    <row r="28" spans="2:19" ht="15.95" customHeight="1" x14ac:dyDescent="0.4">
      <c r="B28" s="67" t="s">
        <v>34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9"/>
    </row>
    <row r="29" spans="2:19" ht="15.95" customHeight="1" x14ac:dyDescent="0.4">
      <c r="B29" s="70"/>
      <c r="C29" s="29" t="s">
        <v>35</v>
      </c>
      <c r="D29" s="33"/>
      <c r="E29" s="33"/>
      <c r="F29" s="32"/>
      <c r="G29" s="32"/>
      <c r="H29" s="32"/>
      <c r="I29" s="32"/>
      <c r="J29" s="33"/>
      <c r="K29" s="33"/>
      <c r="L29" s="33"/>
      <c r="M29" s="33"/>
      <c r="N29" s="33"/>
      <c r="O29" s="71">
        <v>0</v>
      </c>
      <c r="P29" s="35" t="s">
        <v>22</v>
      </c>
    </row>
    <row r="30" spans="2:19" ht="15.95" customHeight="1" x14ac:dyDescent="0.4">
      <c r="B30" s="72"/>
      <c r="C30" s="36" t="s">
        <v>36</v>
      </c>
      <c r="D30" s="40"/>
      <c r="E30" s="40"/>
      <c r="F30" s="39"/>
      <c r="G30" s="39"/>
      <c r="H30" s="39"/>
      <c r="I30" s="39"/>
      <c r="J30" s="40"/>
      <c r="K30" s="40"/>
      <c r="L30" s="40"/>
      <c r="M30" s="40"/>
      <c r="N30" s="40"/>
      <c r="O30" s="73">
        <v>0</v>
      </c>
      <c r="P30" s="42" t="s">
        <v>22</v>
      </c>
    </row>
    <row r="31" spans="2:19" ht="15.95" customHeight="1" x14ac:dyDescent="0.4">
      <c r="B31" s="72"/>
      <c r="C31" s="36" t="s">
        <v>37</v>
      </c>
      <c r="D31" s="40"/>
      <c r="E31" s="40"/>
      <c r="F31" s="39"/>
      <c r="G31" s="39"/>
      <c r="H31" s="39"/>
      <c r="I31" s="39"/>
      <c r="J31" s="40"/>
      <c r="K31" s="40"/>
      <c r="L31" s="40"/>
      <c r="M31" s="40"/>
      <c r="N31" s="40"/>
      <c r="O31" s="73">
        <v>48400</v>
      </c>
      <c r="P31" s="42" t="s">
        <v>22</v>
      </c>
    </row>
    <row r="32" spans="2:19" ht="15.95" customHeight="1" x14ac:dyDescent="0.4">
      <c r="B32" s="72"/>
      <c r="C32" s="36" t="s">
        <v>38</v>
      </c>
      <c r="D32" s="40"/>
      <c r="E32" s="40"/>
      <c r="F32" s="39"/>
      <c r="G32" s="39"/>
      <c r="H32" s="39"/>
      <c r="I32" s="39"/>
      <c r="J32" s="40"/>
      <c r="K32" s="40"/>
      <c r="L32" s="40"/>
      <c r="M32" s="40"/>
      <c r="N32" s="40"/>
      <c r="O32" s="73">
        <v>3300</v>
      </c>
      <c r="P32" s="42" t="s">
        <v>22</v>
      </c>
    </row>
    <row r="33" spans="2:16" ht="15.95" customHeight="1" x14ac:dyDescent="0.4">
      <c r="B33" s="72"/>
      <c r="C33" s="36" t="s">
        <v>39</v>
      </c>
      <c r="D33" s="40"/>
      <c r="E33" s="40"/>
      <c r="F33" s="39"/>
      <c r="G33" s="39"/>
      <c r="H33" s="39"/>
      <c r="I33" s="39"/>
      <c r="J33" s="40"/>
      <c r="K33" s="40"/>
      <c r="L33" s="40"/>
      <c r="M33" s="40"/>
      <c r="N33" s="40"/>
      <c r="O33" s="73">
        <v>70000</v>
      </c>
      <c r="P33" s="42" t="s">
        <v>22</v>
      </c>
    </row>
    <row r="34" spans="2:16" ht="15.95" customHeight="1" x14ac:dyDescent="0.4">
      <c r="B34" s="72"/>
      <c r="C34" s="36" t="s">
        <v>40</v>
      </c>
      <c r="D34" s="40"/>
      <c r="E34" s="40"/>
      <c r="F34" s="39"/>
      <c r="G34" s="39"/>
      <c r="H34" s="39"/>
      <c r="I34" s="39"/>
      <c r="J34" s="40"/>
      <c r="K34" s="40"/>
      <c r="L34" s="40"/>
      <c r="M34" s="40"/>
      <c r="N34" s="40"/>
      <c r="O34" s="73">
        <v>22000</v>
      </c>
      <c r="P34" s="42" t="s">
        <v>22</v>
      </c>
    </row>
    <row r="35" spans="2:16" ht="15.95" customHeight="1" x14ac:dyDescent="0.4">
      <c r="B35" s="72"/>
      <c r="C35" s="36" t="s">
        <v>41</v>
      </c>
      <c r="D35" s="40"/>
      <c r="E35" s="40"/>
      <c r="F35" s="39"/>
      <c r="G35" s="39"/>
      <c r="H35" s="39"/>
      <c r="I35" s="39"/>
      <c r="J35" s="40"/>
      <c r="K35" s="40"/>
      <c r="L35" s="40"/>
      <c r="M35" s="40"/>
      <c r="N35" s="40"/>
      <c r="O35" s="73">
        <v>3300</v>
      </c>
      <c r="P35" s="42" t="s">
        <v>22</v>
      </c>
    </row>
    <row r="36" spans="2:16" ht="15.95" customHeight="1" x14ac:dyDescent="0.4">
      <c r="B36" s="72"/>
      <c r="C36" s="36"/>
      <c r="D36" s="40"/>
      <c r="E36" s="40"/>
      <c r="F36" s="39"/>
      <c r="G36" s="39"/>
      <c r="H36" s="39"/>
      <c r="I36" s="39"/>
      <c r="J36" s="40"/>
      <c r="K36" s="40"/>
      <c r="L36" s="40"/>
      <c r="M36" s="40"/>
      <c r="N36" s="40"/>
      <c r="O36" s="73"/>
      <c r="P36" s="42" t="s">
        <v>22</v>
      </c>
    </row>
    <row r="37" spans="2:16" ht="15.95" customHeight="1" x14ac:dyDescent="0.4">
      <c r="B37" s="80"/>
      <c r="C37" s="36"/>
      <c r="D37" s="54"/>
      <c r="E37" s="54"/>
      <c r="F37" s="77"/>
      <c r="G37" s="77"/>
      <c r="H37" s="77"/>
      <c r="I37" s="77"/>
      <c r="J37" s="54"/>
      <c r="K37" s="54"/>
      <c r="L37" s="54"/>
      <c r="M37" s="54"/>
      <c r="N37" s="79"/>
      <c r="O37" s="62"/>
      <c r="P37" s="74" t="s">
        <v>22</v>
      </c>
    </row>
    <row r="38" spans="2:16" ht="15.95" customHeight="1" x14ac:dyDescent="0.4">
      <c r="B38" s="78"/>
      <c r="C38" s="16"/>
      <c r="D38" s="16"/>
      <c r="E38" s="16"/>
      <c r="F38" s="16"/>
      <c r="G38" s="16"/>
      <c r="H38" s="16"/>
      <c r="I38" s="16"/>
      <c r="J38" s="16"/>
      <c r="K38" s="17"/>
      <c r="L38" s="92" t="s">
        <v>27</v>
      </c>
      <c r="M38" s="92">
        <f>O19+O27+O38</f>
        <v>197123</v>
      </c>
      <c r="N38" s="92"/>
      <c r="O38" s="65">
        <f>SUM(O29:O37)</f>
        <v>147000</v>
      </c>
      <c r="P38" s="66" t="s">
        <v>28</v>
      </c>
    </row>
    <row r="39" spans="2:16" ht="8.1" customHeight="1" x14ac:dyDescent="0.4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2:16" ht="15.95" customHeight="1" x14ac:dyDescent="0.4">
      <c r="B40" s="11"/>
      <c r="C40" s="11"/>
      <c r="D40" s="11"/>
      <c r="E40" s="11"/>
      <c r="F40" s="11"/>
      <c r="G40" s="93" t="s">
        <v>42</v>
      </c>
      <c r="H40" s="93"/>
      <c r="I40" s="93"/>
      <c r="J40" s="93"/>
      <c r="K40" s="93"/>
      <c r="L40" s="93"/>
      <c r="M40" s="94">
        <f>O19+O27+O38</f>
        <v>197123</v>
      </c>
      <c r="N40" s="94"/>
      <c r="O40" s="94"/>
      <c r="P40" s="75" t="s">
        <v>22</v>
      </c>
    </row>
    <row r="41" spans="2:16" ht="6.95" customHeight="1" x14ac:dyDescent="0.4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2:16" x14ac:dyDescent="0.4">
      <c r="B42" s="81" t="s">
        <v>43</v>
      </c>
      <c r="C42" s="84" t="s">
        <v>44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5"/>
    </row>
    <row r="43" spans="2:16" x14ac:dyDescent="0.4">
      <c r="B43" s="82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7"/>
    </row>
    <row r="44" spans="2:16" x14ac:dyDescent="0.4">
      <c r="B44" s="83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9"/>
    </row>
    <row r="45" spans="2:16" ht="8.1" customHeight="1" x14ac:dyDescent="0.4">
      <c r="B45" s="11"/>
      <c r="C45" s="76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2:16" ht="15.75" customHeight="1" x14ac:dyDescent="0.4">
      <c r="B46" s="11"/>
      <c r="C46" s="76" t="s">
        <v>45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2:16" ht="15.75" customHeight="1" x14ac:dyDescent="0.4">
      <c r="B47" s="11"/>
      <c r="C47" s="76" t="s">
        <v>46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2:16" ht="15.75" customHeight="1" x14ac:dyDescent="0.4">
      <c r="B48" s="11"/>
      <c r="C48" s="76" t="s">
        <v>47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3:3" x14ac:dyDescent="0.4">
      <c r="C49" s="76" t="s">
        <v>48</v>
      </c>
    </row>
    <row r="50" spans="3:3" x14ac:dyDescent="0.4">
      <c r="C50" s="76" t="s">
        <v>49</v>
      </c>
    </row>
    <row r="51" spans="3:3" x14ac:dyDescent="0.4">
      <c r="C51" s="76" t="s">
        <v>50</v>
      </c>
    </row>
  </sheetData>
  <sheetProtection formatCells="0" formatColumns="0" formatRows="0" insertColumns="0" insertRows="0" insertHyperlinks="0" deleteColumns="0" deleteRows="0" sort="0" autoFilter="0" pivotTables="0"/>
  <mergeCells count="23">
    <mergeCell ref="M2:N2"/>
    <mergeCell ref="O2:P2"/>
    <mergeCell ref="B4:C4"/>
    <mergeCell ref="B6:C6"/>
    <mergeCell ref="E6:K6"/>
    <mergeCell ref="B7:C7"/>
    <mergeCell ref="B8:C8"/>
    <mergeCell ref="E8:G8"/>
    <mergeCell ref="B9:C9"/>
    <mergeCell ref="E9:G9"/>
    <mergeCell ref="L19:N19"/>
    <mergeCell ref="F21:G21"/>
    <mergeCell ref="F22:G22"/>
    <mergeCell ref="F23:G23"/>
    <mergeCell ref="F24:G24"/>
    <mergeCell ref="B42:B44"/>
    <mergeCell ref="C42:P44"/>
    <mergeCell ref="F25:G25"/>
    <mergeCell ref="F26:G26"/>
    <mergeCell ref="L27:N27"/>
    <mergeCell ref="L38:N38"/>
    <mergeCell ref="G40:L40"/>
    <mergeCell ref="M40:O40"/>
  </mergeCells>
  <pageMargins left="0.7" right="0.7" top="0.75" bottom="0.75" header="0.51180555555554996" footer="0.51180555555554996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Sheet1</vt:lpstr>
      <vt:lpstr>Sheet1!Area_de_impressao</vt:lpstr>
      <vt:lpstr>Sheet1!Print_Area_0</vt:lpstr>
      <vt:lpstr>Sheet1!Print_Area_0_0</vt:lpstr>
      <vt:lpstr>Sheet1!Print_Area_0_0_0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_</dc:creator>
  <cp:keywords/>
  <dc:description/>
  <cp:lastModifiedBy>YAGI HIROSHI</cp:lastModifiedBy>
  <dcterms:created xsi:type="dcterms:W3CDTF">2018-02-09T08:05:19Z</dcterms:created>
  <dcterms:modified xsi:type="dcterms:W3CDTF">2026-04-23T13:11:16Z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